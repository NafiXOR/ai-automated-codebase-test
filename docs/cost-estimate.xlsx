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  <sheet name="Token Usage" sheetId="2" state="visible" r:id="rId2"/>
    <sheet name="Cost per Job" sheetId="3" state="visible" r:id="rId3"/>
    <sheet name="Monthly Volume" sheetId="4" state="visible" r:id="rId4"/>
    <sheet name="Notes &amp; 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.00;($#,##0.00);-"/>
    <numFmt numFmtId="165" formatCode="$#,##0;($#,##0);-"/>
    <numFmt numFmtId="166" formatCode="#,##0;(#,##0);-"/>
    <numFmt numFmtId="167" formatCode="0.0%;(0.0%);-"/>
    <numFmt numFmtId="168" formatCode="$#,##0.000;($#,##0.000);-"/>
    <numFmt numFmtId="169" formatCode="0.0x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</font>
    <font>
      <name val="Arial"/>
      <b val="1"/>
    </font>
    <font>
      <name val="Arial"/>
      <color rgb="00000000"/>
    </font>
    <font>
      <name val="Arial"/>
      <color rgb="000000FF"/>
    </font>
    <font>
      <name val="Arial"/>
      <b val="1"/>
      <color rgb="00008000"/>
    </font>
    <font>
      <name val="Arial"/>
      <color rgb="00008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164" fontId="5" fillId="0" borderId="1" pivotButton="0" quotePrefix="0" xfId="0"/>
    <xf numFmtId="0" fontId="5" fillId="0" borderId="1" pivotButton="0" quotePrefix="0" xfId="0"/>
    <xf numFmtId="0" fontId="4" fillId="0" borderId="1" applyAlignment="1" pivotButton="0" quotePrefix="0" xfId="0">
      <alignment vertical="top" wrapText="1"/>
    </xf>
    <xf numFmtId="0" fontId="3" fillId="0" borderId="0" pivotButton="0" quotePrefix="0" xfId="0"/>
    <xf numFmtId="0" fontId="3" fillId="2" borderId="1" pivotButton="0" quotePrefix="0" xfId="0"/>
    <xf numFmtId="165" fontId="5" fillId="0" borderId="1" pivotButton="0" quotePrefix="0" xfId="0"/>
    <xf numFmtId="166" fontId="5" fillId="3" borderId="1" pivotButton="0" quotePrefix="0" xfId="0"/>
    <xf numFmtId="166" fontId="5" fillId="0" borderId="1" pivotButton="0" quotePrefix="0" xfId="0"/>
    <xf numFmtId="167" fontId="5" fillId="0" borderId="1" pivotButton="0" quotePrefix="0" xfId="0"/>
    <xf numFmtId="166" fontId="4" fillId="0" borderId="1" pivotButton="0" quotePrefix="0" xfId="0"/>
    <xf numFmtId="0" fontId="6" fillId="2" borderId="1" applyAlignment="1" pivotButton="0" quotePrefix="0" xfId="0">
      <alignment vertical="center" wrapText="1"/>
    </xf>
    <xf numFmtId="0" fontId="7" fillId="0" borderId="1" pivotButton="0" quotePrefix="0" xfId="0"/>
    <xf numFmtId="168" fontId="4" fillId="0" borderId="1" applyAlignment="1" pivotButton="0" quotePrefix="0" xfId="0">
      <alignment horizontal="right"/>
    </xf>
    <xf numFmtId="169" fontId="4" fillId="0" borderId="1" pivotButton="0" quotePrefix="0" xfId="0"/>
    <xf numFmtId="168" fontId="7" fillId="0" borderId="1" pivotButton="0" quotePrefix="0" xfId="0"/>
    <xf numFmtId="164" fontId="4" fillId="0" borderId="1" pivotButton="0" quotePrefix="0" xfId="0"/>
    <xf numFmtId="164" fontId="7" fillId="0" borderId="1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cost-estimate</author>
  </authors>
  <commentList>
    <comment ref="B5" authorId="0" shapeId="0">
      <text>
        <t>Estimate: system prompt (~300) + original request + previous response (~900) + truncated test output (&lt;=4,000 chars, ~1,000 tokens).</t>
      </text>
    </comment>
    <comment ref="B6" authorId="0" shapeId="0">
      <text>
        <t>Workflow default maxRetries = 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2" customWidth="1" min="4" max="4"/>
    <col width="12" customWidth="1" min="5" max="5"/>
    <col width="12" customWidth="1" min="6" max="6"/>
    <col width="70" customWidth="1" min="7" max="7"/>
  </cols>
  <sheetData>
    <row r="1">
      <c r="A1" s="1" t="inlineStr">
        <is>
          <t>Model prices (USD per 1M tokens)</t>
        </is>
      </c>
    </row>
    <row r="2">
      <c r="A2" s="2" t="inlineStr">
        <is>
          <t>Blue = input you can edit. Checked 2026-09-24.</t>
        </is>
      </c>
    </row>
    <row r="3">
      <c r="A3" s="3" t="inlineStr">
        <is>
          <t>Model</t>
        </is>
      </c>
      <c r="B3" s="3" t="inlineStr">
        <is>
          <t>Input</t>
        </is>
      </c>
      <c r="C3" s="3" t="inlineStr">
        <is>
          <t>Output</t>
        </is>
      </c>
      <c r="D3" s="3" t="inlineStr">
        <is>
          <t>Cache read</t>
        </is>
      </c>
      <c r="E3" s="3" t="inlineStr">
        <is>
          <t>Cache write</t>
        </is>
      </c>
      <c r="F3" s="3" t="inlineStr">
        <is>
          <t>Usable in Claude Code</t>
        </is>
      </c>
      <c r="G3" s="3" t="inlineStr">
        <is>
          <t>Source / notes</t>
        </is>
      </c>
    </row>
    <row r="4" ht="30" customHeight="1">
      <c r="A4" s="4" t="inlineStr">
        <is>
          <t>Gemini 3.6 Flash (free tier)</t>
        </is>
      </c>
      <c r="B4" s="5" t="n">
        <v>0</v>
      </c>
      <c r="C4" s="5" t="n">
        <v>0</v>
      </c>
      <c r="D4" s="5" t="n">
        <v>0</v>
      </c>
      <c r="E4" s="5" t="n">
        <v>0</v>
      </c>
      <c r="F4" s="6" t="inlineStr">
        <is>
          <t>No</t>
        </is>
      </c>
      <c r="G4" s="7" t="inlineStr">
        <is>
          <t>Source: Gemini API pricing, https://ai.google.dev/gemini-api/docs/pricing (thinking tokens billed as output). Free of charge through 2026-12-31; rate-limited.</t>
        </is>
      </c>
    </row>
    <row r="5" ht="30" customHeight="1">
      <c r="A5" s="4" t="inlineStr">
        <is>
          <t>Gemini 3.6 Flash (paid, 2026)</t>
        </is>
      </c>
      <c r="B5" s="5" t="n">
        <v>0.75</v>
      </c>
      <c r="C5" s="5" t="n">
        <v>3.75</v>
      </c>
      <c r="D5" s="5" t="n">
        <v>0</v>
      </c>
      <c r="E5" s="5" t="n">
        <v>0</v>
      </c>
      <c r="F5" s="6" t="inlineStr">
        <is>
          <t>No</t>
        </is>
      </c>
      <c r="G5" s="7" t="inlineStr">
        <is>
          <t>Source: Gemini API pricing, https://ai.google.dev/gemini-api/docs/pricing (thinking tokens billed as output). Paid tier through 2026-12-31. Workflow does not use caching.</t>
        </is>
      </c>
    </row>
    <row r="6" ht="30" customHeight="1">
      <c r="A6" s="4" t="inlineStr">
        <is>
          <t>Gemini 3.6 Flash (paid, from 2027)</t>
        </is>
      </c>
      <c r="B6" s="5" t="n">
        <v>1.5</v>
      </c>
      <c r="C6" s="5" t="n">
        <v>7.5</v>
      </c>
      <c r="D6" s="5" t="n">
        <v>0</v>
      </c>
      <c r="E6" s="5" t="n">
        <v>0</v>
      </c>
      <c r="F6" s="6" t="inlineStr">
        <is>
          <t>No</t>
        </is>
      </c>
      <c r="G6" s="7" t="inlineStr">
        <is>
          <t>Source: Gemini API pricing, https://ai.google.dev/gemini-api/docs/pricing (thinking tokens billed as output). Paid tier from 2027-01-01.</t>
        </is>
      </c>
    </row>
    <row r="7" ht="30" customHeight="1">
      <c r="A7" s="4" t="inlineStr">
        <is>
          <t>Claude Sonnet 5</t>
        </is>
      </c>
      <c r="B7" s="5" t="n">
        <v>2</v>
      </c>
      <c r="C7" s="5" t="n">
        <v>10</v>
      </c>
      <c r="D7" s="5" t="n">
        <v>0.2</v>
      </c>
      <c r="E7" s="5" t="n">
        <v>2.5</v>
      </c>
      <c r="F7" s="6" t="inlineStr">
        <is>
          <t>Yes</t>
        </is>
      </c>
      <c r="G7" s="7" t="inlineStr">
        <is>
          <t>Source: Anthropic Claude API pricing (Claude API reference, cached 2026-06-24). Cache read (0.1x input) and 5-minute cache write (1.25x input) are ASSUMED standard multipliers.</t>
        </is>
      </c>
    </row>
    <row r="8" ht="30" customHeight="1">
      <c r="A8" s="4" t="inlineStr">
        <is>
          <t>Claude Opus 5.5</t>
        </is>
      </c>
      <c r="B8" s="5" t="n">
        <v>4</v>
      </c>
      <c r="C8" s="5" t="n">
        <v>20</v>
      </c>
      <c r="D8" s="5" t="n">
        <v>0.2</v>
      </c>
      <c r="E8" s="5" t="n">
        <v>5</v>
      </c>
      <c r="F8" s="6" t="inlineStr">
        <is>
          <t>Yes</t>
        </is>
      </c>
      <c r="G8" s="7" t="inlineStr">
        <is>
          <t>Source: Anthropic Claude API pricing (Claude API reference, cached 2026-06-24). Cache read $0.20 per Anthropic; cache write ASSUMED 1.25x input.</t>
        </is>
      </c>
    </row>
    <row r="10">
      <c r="A10" s="8" t="inlineStr">
        <is>
          <t>Subscriptions (USD per month)</t>
        </is>
      </c>
    </row>
    <row r="11">
      <c r="A11" s="9" t="inlineStr">
        <is>
          <t>Plan</t>
        </is>
      </c>
      <c r="B11" s="9" t="inlineStr">
        <is>
          <t>Price / month</t>
        </is>
      </c>
      <c r="C11" s="9" t="n"/>
      <c r="D11" s="9" t="n"/>
      <c r="E11" s="9" t="n"/>
      <c r="F11" s="9" t="n"/>
      <c r="G11" s="9" t="inlineStr">
        <is>
          <t>Source / notes</t>
        </is>
      </c>
    </row>
    <row r="12">
      <c r="A12" s="4" t="inlineStr">
        <is>
          <t>Claude Pro</t>
        </is>
      </c>
      <c r="B12" s="10" t="n">
        <v>20</v>
      </c>
      <c r="G12" s="7" t="inlineStr">
        <is>
          <t>Source: https://claude.com/pricing. Includes Claude Code, subject to usage limits per 5-hour session.</t>
        </is>
      </c>
    </row>
    <row r="13">
      <c r="A13" s="4" t="inlineStr">
        <is>
          <t>Claude Max 5x</t>
        </is>
      </c>
      <c r="B13" s="10" t="n">
        <v>100</v>
      </c>
      <c r="G13" s="7" t="inlineStr">
        <is>
          <t>Source: https://claude.com/pricing. Includes Claude Code, subject to usage limits per 5-hour session. 5x Pro usage.</t>
        </is>
      </c>
    </row>
    <row r="14">
      <c r="A14" s="4" t="inlineStr">
        <is>
          <t>Claude Max 20x</t>
        </is>
      </c>
      <c r="B14" s="10" t="n">
        <v>200</v>
      </c>
      <c r="G14" s="7" t="inlineStr">
        <is>
          <t>Source: https://claude.com/pricing. Includes Claude Code, subject to usage limits per 5-hour session. 20x Pro usage.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2" customWidth="1" min="2" max="2"/>
    <col width="10" customWidth="1" min="3" max="3"/>
    <col width="13" customWidth="1" min="4" max="4"/>
    <col width="11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60" customWidth="1" min="11" max="11"/>
  </cols>
  <sheetData>
    <row r="1">
      <c r="A1" s="1" t="inlineStr">
        <is>
          <t>Tokens per job</t>
        </is>
      </c>
    </row>
    <row r="2">
      <c r="A2" s="2" t="inlineStr">
        <is>
          <t>Workflow rows 1-2 were measured with real Gemini 3.6 Flash calls on 2026-09-24. Everything else is an estimate - edit the blue cells.</t>
        </is>
      </c>
    </row>
    <row r="4">
      <c r="A4" s="8" t="inlineStr">
        <is>
          <t>Assumptions</t>
        </is>
      </c>
    </row>
    <row r="5">
      <c r="A5" s="4" t="inlineStr">
        <is>
          <t>Input tokens per retry call (workflow)</t>
        </is>
      </c>
      <c r="B5" s="11" t="n">
        <v>2300</v>
      </c>
    </row>
    <row r="6">
      <c r="A6" s="4" t="inlineStr">
        <is>
          <t>Retries in worst case (workflow)</t>
        </is>
      </c>
      <c r="B6" s="11" t="n">
        <v>3</v>
      </c>
    </row>
    <row r="8">
      <c r="A8" s="3" t="inlineStr">
        <is>
          <t>Approach</t>
        </is>
      </c>
      <c r="B8" s="3" t="inlineStr">
        <is>
          <t>Job</t>
        </is>
      </c>
      <c r="C8" s="3" t="inlineStr">
        <is>
          <t>Calls / turns</t>
        </is>
      </c>
      <c r="D8" s="3" t="inlineStr">
        <is>
          <t>Avg input tokens per call</t>
        </is>
      </c>
      <c r="E8" s="3" t="inlineStr">
        <is>
          <t>Cached share of input</t>
        </is>
      </c>
      <c r="F8" s="3" t="inlineStr">
        <is>
          <t>Output tokens (total)</t>
        </is>
      </c>
      <c r="G8" s="3" t="inlineStr">
        <is>
          <t>Uncached input (total)</t>
        </is>
      </c>
      <c r="H8" s="3" t="inlineStr">
        <is>
          <t>Cached input (total)</t>
        </is>
      </c>
      <c r="I8" s="3" t="inlineStr">
        <is>
          <t>Uncached input billed as</t>
        </is>
      </c>
      <c r="J8" s="3" t="inlineStr">
        <is>
          <t>Basis</t>
        </is>
      </c>
      <c r="K8" s="3" t="inlineStr">
        <is>
          <t>Notes</t>
        </is>
      </c>
    </row>
    <row r="9" ht="30" customHeight="1">
      <c r="A9" s="4" t="inlineStr">
        <is>
          <t>Workflow</t>
        </is>
      </c>
      <c r="B9" s="4" t="inlineStr">
        <is>
          <t>Static website</t>
        </is>
      </c>
      <c r="C9" s="12" t="n">
        <v>1</v>
      </c>
      <c r="D9" s="12" t="n">
        <v>295</v>
      </c>
      <c r="E9" s="13" t="n">
        <v>0</v>
      </c>
      <c r="F9" s="12" t="n">
        <v>6814</v>
      </c>
      <c r="G9" s="14">
        <f>C9*D9*(1-E9)</f>
        <v/>
      </c>
      <c r="H9" s="14">
        <f>C9*D9*E9</f>
        <v/>
      </c>
      <c r="I9" s="6" t="inlineStr">
        <is>
          <t>Input</t>
        </is>
      </c>
      <c r="J9" s="4" t="inlineStr">
        <is>
          <t>Measured</t>
        </is>
      </c>
      <c r="K9" s="7" t="inlineStr">
        <is>
          <t>Portfolio site, reasoning_effort "low". 1 call.</t>
        </is>
      </c>
    </row>
    <row r="10" ht="30" customHeight="1">
      <c r="A10" s="4" t="inlineStr">
        <is>
          <t>Workflow</t>
        </is>
      </c>
      <c r="B10" s="4" t="inlineStr">
        <is>
          <t>Tested backend - passes first try</t>
        </is>
      </c>
      <c r="C10" s="12" t="n">
        <v>1</v>
      </c>
      <c r="D10" s="12" t="n">
        <v>333</v>
      </c>
      <c r="E10" s="13" t="n">
        <v>0</v>
      </c>
      <c r="F10" s="12" t="n">
        <v>2407</v>
      </c>
      <c r="G10" s="14">
        <f>C10*D10*(1-E10)</f>
        <v/>
      </c>
      <c r="H10" s="14">
        <f>C10*D10*E10</f>
        <v/>
      </c>
      <c r="I10" s="6" t="inlineStr">
        <is>
          <t>Input</t>
        </is>
      </c>
      <c r="J10" s="4" t="inlineStr">
        <is>
          <t>Measured</t>
        </is>
      </c>
      <c r="K10" s="7" t="inlineStr">
        <is>
          <t>Tiny health-check API; 2,407 output includes ~1,500 thinking tokens at default effort (workflows now use "low", so likely less).</t>
        </is>
      </c>
    </row>
    <row r="11" ht="30" customHeight="1">
      <c r="A11" s="4" t="inlineStr">
        <is>
          <t>Workflow</t>
        </is>
      </c>
      <c r="B11" s="4" t="inlineStr">
        <is>
          <t>Tested backend - worst case</t>
        </is>
      </c>
      <c r="C11" s="14">
        <f>1+$B$6</f>
        <v/>
      </c>
      <c r="D11" s="14">
        <f>(D10+$B$6*$B$5)/C11</f>
        <v/>
      </c>
      <c r="E11" s="13" t="n">
        <v>0</v>
      </c>
      <c r="F11" s="14">
        <f>C11*F10</f>
        <v/>
      </c>
      <c r="G11" s="14">
        <f>C11*D11*(1-E11)</f>
        <v/>
      </c>
      <c r="H11" s="14">
        <f>C11*D11*E11</f>
        <v/>
      </c>
      <c r="I11" s="6" t="inlineStr">
        <is>
          <t>Input</t>
        </is>
      </c>
      <c r="J11" s="4" t="inlineStr">
        <is>
          <t>Estimate</t>
        </is>
      </c>
      <c r="K11" s="7" t="inlineStr">
        <is>
          <t>First call + all retries fail; each retry resends code + error output.</t>
        </is>
      </c>
    </row>
    <row r="12" ht="30" customHeight="1">
      <c r="A12" s="4" t="inlineStr">
        <is>
          <t>Claude Code (typical)</t>
        </is>
      </c>
      <c r="B12" s="4" t="inlineStr">
        <is>
          <t>Static website</t>
        </is>
      </c>
      <c r="C12" s="12" t="n">
        <v>12</v>
      </c>
      <c r="D12" s="12" t="n">
        <v>25000</v>
      </c>
      <c r="E12" s="13" t="n">
        <v>0.9</v>
      </c>
      <c r="F12" s="12" t="n">
        <v>12000</v>
      </c>
      <c r="G12" s="14">
        <f>C12*D12*(1-E12)</f>
        <v/>
      </c>
      <c r="H12" s="14">
        <f>C12*D12*E12</f>
        <v/>
      </c>
      <c r="I12" s="6" t="inlineStr">
        <is>
          <t>Cache write</t>
        </is>
      </c>
      <c r="J12" s="4" t="inlineStr">
        <is>
          <t>Estimate</t>
        </is>
      </c>
      <c r="K12" s="7" t="inlineStr">
        <is>
          <t>Agentic session: reads files, writes, checks. Uncached input billed at cache-write price.</t>
        </is>
      </c>
    </row>
    <row r="13" ht="30" customHeight="1">
      <c r="A13" s="4" t="inlineStr">
        <is>
          <t>Claude Code (heavy)</t>
        </is>
      </c>
      <c r="B13" s="4" t="inlineStr">
        <is>
          <t>Static website</t>
        </is>
      </c>
      <c r="C13" s="12" t="n">
        <v>25</v>
      </c>
      <c r="D13" s="12" t="n">
        <v>40000</v>
      </c>
      <c r="E13" s="13" t="n">
        <v>0.9</v>
      </c>
      <c r="F13" s="12" t="n">
        <v>30000</v>
      </c>
      <c r="G13" s="14">
        <f>C13*D13*(1-E13)</f>
        <v/>
      </c>
      <c r="H13" s="14">
        <f>C13*D13*E13</f>
        <v/>
      </c>
      <c r="I13" s="6" t="inlineStr">
        <is>
          <t>Cache write</t>
        </is>
      </c>
      <c r="J13" s="4" t="inlineStr">
        <is>
          <t>Estimate</t>
        </is>
      </c>
      <c r="K13" s="7" t="inlineStr">
        <is>
          <t>Longer session with several rounds of fixes.</t>
        </is>
      </c>
    </row>
    <row r="14" ht="30" customHeight="1">
      <c r="A14" s="4" t="inlineStr">
        <is>
          <t>Claude Code (typical)</t>
        </is>
      </c>
      <c r="B14" s="4" t="inlineStr">
        <is>
          <t>Tested backend</t>
        </is>
      </c>
      <c r="C14" s="12" t="n">
        <v>15</v>
      </c>
      <c r="D14" s="12" t="n">
        <v>30000</v>
      </c>
      <c r="E14" s="13" t="n">
        <v>0.9</v>
      </c>
      <c r="F14" s="12" t="n">
        <v>15000</v>
      </c>
      <c r="G14" s="14">
        <f>C14*D14*(1-E14)</f>
        <v/>
      </c>
      <c r="H14" s="14">
        <f>C14*D14*E14</f>
        <v/>
      </c>
      <c r="I14" s="6" t="inlineStr">
        <is>
          <t>Cache write</t>
        </is>
      </c>
      <c r="J14" s="4" t="inlineStr">
        <is>
          <t>Estimate</t>
        </is>
      </c>
      <c r="K14" s="7" t="inlineStr">
        <is>
          <t>Writes code + tests, runs npm test, fixes failures.</t>
        </is>
      </c>
    </row>
    <row r="15" ht="30" customHeight="1">
      <c r="A15" s="4" t="inlineStr">
        <is>
          <t>Claude Code (heavy)</t>
        </is>
      </c>
      <c r="B15" s="4" t="inlineStr">
        <is>
          <t>Tested backend</t>
        </is>
      </c>
      <c r="C15" s="12" t="n">
        <v>30</v>
      </c>
      <c r="D15" s="12" t="n">
        <v>45000</v>
      </c>
      <c r="E15" s="13" t="n">
        <v>0.9</v>
      </c>
      <c r="F15" s="12" t="n">
        <v>35000</v>
      </c>
      <c r="G15" s="14">
        <f>C15*D15*(1-E15)</f>
        <v/>
      </c>
      <c r="H15" s="14">
        <f>C15*D15*E15</f>
        <v/>
      </c>
      <c r="I15" s="6" t="inlineStr">
        <is>
          <t>Cache write</t>
        </is>
      </c>
      <c r="J15" s="4" t="inlineStr">
        <is>
          <t>Estimate</t>
        </is>
      </c>
      <c r="K15" s="7" t="inlineStr">
        <is>
          <t>Many test/fix iterations.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Cost per job (USD)</t>
        </is>
      </c>
    </row>
    <row r="2">
      <c r="A2" s="2" t="inlineStr">
        <is>
          <t>Cost = uncached input x (input or cache-write price) + cached input x cache-read price + output x output price, per 1M tokens. "n/a" = Claude Code only runs Claude models.</t>
        </is>
      </c>
    </row>
    <row r="4">
      <c r="A4" s="3" t="inlineStr">
        <is>
          <t>Approach</t>
        </is>
      </c>
      <c r="B4" s="3" t="inlineStr">
        <is>
          <t>Job</t>
        </is>
      </c>
      <c r="C4" s="15">
        <f>Prices!A4</f>
        <v/>
      </c>
      <c r="D4" s="15">
        <f>Prices!A5</f>
        <v/>
      </c>
      <c r="E4" s="15">
        <f>Prices!A6</f>
        <v/>
      </c>
      <c r="F4" s="15">
        <f>Prices!A7</f>
        <v/>
      </c>
      <c r="G4" s="15">
        <f>Prices!A8</f>
        <v/>
      </c>
    </row>
    <row r="5">
      <c r="A5" s="16">
        <f>'Token Usage'!A9</f>
        <v/>
      </c>
      <c r="B5" s="16">
        <f>'Token Usage'!B9</f>
        <v/>
      </c>
      <c r="C5" s="17">
        <f>IF(AND('Token Usage'!$I9="Cache write",Prices!$F$4="No"),"n/a",('Token Usage'!$G9*IF('Token Usage'!$I9="Cache write",Prices!$E$4,Prices!$B$4)+'Token Usage'!$H9*Prices!$D$4+'Token Usage'!$F9*Prices!$C$4)/1000000)</f>
        <v/>
      </c>
      <c r="D5" s="17">
        <f>IF(AND('Token Usage'!$I9="Cache write",Prices!$F$5="No"),"n/a",('Token Usage'!$G9*IF('Token Usage'!$I9="Cache write",Prices!$E$5,Prices!$B$5)+'Token Usage'!$H9*Prices!$D$5+'Token Usage'!$F9*Prices!$C$5)/1000000)</f>
        <v/>
      </c>
      <c r="E5" s="17">
        <f>IF(AND('Token Usage'!$I9="Cache write",Prices!$F$6="No"),"n/a",('Token Usage'!$G9*IF('Token Usage'!$I9="Cache write",Prices!$E$6,Prices!$B$6)+'Token Usage'!$H9*Prices!$D$6+'Token Usage'!$F9*Prices!$C$6)/1000000)</f>
        <v/>
      </c>
      <c r="F5" s="17">
        <f>IF(AND('Token Usage'!$I9="Cache write",Prices!$F$7="No"),"n/a",('Token Usage'!$G9*IF('Token Usage'!$I9="Cache write",Prices!$E$7,Prices!$B$7)+'Token Usage'!$H9*Prices!$D$7+'Token Usage'!$F9*Prices!$C$7)/1000000)</f>
        <v/>
      </c>
      <c r="G5" s="17">
        <f>IF(AND('Token Usage'!$I9="Cache write",Prices!$F$8="No"),"n/a",('Token Usage'!$G9*IF('Token Usage'!$I9="Cache write",Prices!$E$8,Prices!$B$8)+'Token Usage'!$H9*Prices!$D$8+'Token Usage'!$F9*Prices!$C$8)/1000000)</f>
        <v/>
      </c>
    </row>
    <row r="6">
      <c r="A6" s="16">
        <f>'Token Usage'!A10</f>
        <v/>
      </c>
      <c r="B6" s="16">
        <f>'Token Usage'!B10</f>
        <v/>
      </c>
      <c r="C6" s="17">
        <f>IF(AND('Token Usage'!$I10="Cache write",Prices!$F$4="No"),"n/a",('Token Usage'!$G10*IF('Token Usage'!$I10="Cache write",Prices!$E$4,Prices!$B$4)+'Token Usage'!$H10*Prices!$D$4+'Token Usage'!$F10*Prices!$C$4)/1000000)</f>
        <v/>
      </c>
      <c r="D6" s="17">
        <f>IF(AND('Token Usage'!$I10="Cache write",Prices!$F$5="No"),"n/a",('Token Usage'!$G10*IF('Token Usage'!$I10="Cache write",Prices!$E$5,Prices!$B$5)+'Token Usage'!$H10*Prices!$D$5+'Token Usage'!$F10*Prices!$C$5)/1000000)</f>
        <v/>
      </c>
      <c r="E6" s="17">
        <f>IF(AND('Token Usage'!$I10="Cache write",Prices!$F$6="No"),"n/a",('Token Usage'!$G10*IF('Token Usage'!$I10="Cache write",Prices!$E$6,Prices!$B$6)+'Token Usage'!$H10*Prices!$D$6+'Token Usage'!$F10*Prices!$C$6)/1000000)</f>
        <v/>
      </c>
      <c r="F6" s="17">
        <f>IF(AND('Token Usage'!$I10="Cache write",Prices!$F$7="No"),"n/a",('Token Usage'!$G10*IF('Token Usage'!$I10="Cache write",Prices!$E$7,Prices!$B$7)+'Token Usage'!$H10*Prices!$D$7+'Token Usage'!$F10*Prices!$C$7)/1000000)</f>
        <v/>
      </c>
      <c r="G6" s="17">
        <f>IF(AND('Token Usage'!$I10="Cache write",Prices!$F$8="No"),"n/a",('Token Usage'!$G10*IF('Token Usage'!$I10="Cache write",Prices!$E$8,Prices!$B$8)+'Token Usage'!$H10*Prices!$D$8+'Token Usage'!$F10*Prices!$C$8)/1000000)</f>
        <v/>
      </c>
    </row>
    <row r="7">
      <c r="A7" s="16">
        <f>'Token Usage'!A11</f>
        <v/>
      </c>
      <c r="B7" s="16">
        <f>'Token Usage'!B11</f>
        <v/>
      </c>
      <c r="C7" s="17">
        <f>IF(AND('Token Usage'!$I11="Cache write",Prices!$F$4="No"),"n/a",('Token Usage'!$G11*IF('Token Usage'!$I11="Cache write",Prices!$E$4,Prices!$B$4)+'Token Usage'!$H11*Prices!$D$4+'Token Usage'!$F11*Prices!$C$4)/1000000)</f>
        <v/>
      </c>
      <c r="D7" s="17">
        <f>IF(AND('Token Usage'!$I11="Cache write",Prices!$F$5="No"),"n/a",('Token Usage'!$G11*IF('Token Usage'!$I11="Cache write",Prices!$E$5,Prices!$B$5)+'Token Usage'!$H11*Prices!$D$5+'Token Usage'!$F11*Prices!$C$5)/1000000)</f>
        <v/>
      </c>
      <c r="E7" s="17">
        <f>IF(AND('Token Usage'!$I11="Cache write",Prices!$F$6="No"),"n/a",('Token Usage'!$G11*IF('Token Usage'!$I11="Cache write",Prices!$E$6,Prices!$B$6)+'Token Usage'!$H11*Prices!$D$6+'Token Usage'!$F11*Prices!$C$6)/1000000)</f>
        <v/>
      </c>
      <c r="F7" s="17">
        <f>IF(AND('Token Usage'!$I11="Cache write",Prices!$F$7="No"),"n/a",('Token Usage'!$G11*IF('Token Usage'!$I11="Cache write",Prices!$E$7,Prices!$B$7)+'Token Usage'!$H11*Prices!$D$7+'Token Usage'!$F11*Prices!$C$7)/1000000)</f>
        <v/>
      </c>
      <c r="G7" s="17">
        <f>IF(AND('Token Usage'!$I11="Cache write",Prices!$F$8="No"),"n/a",('Token Usage'!$G11*IF('Token Usage'!$I11="Cache write",Prices!$E$8,Prices!$B$8)+'Token Usage'!$H11*Prices!$D$8+'Token Usage'!$F11*Prices!$C$8)/1000000)</f>
        <v/>
      </c>
    </row>
    <row r="8">
      <c r="A8" s="16">
        <f>'Token Usage'!A12</f>
        <v/>
      </c>
      <c r="B8" s="16">
        <f>'Token Usage'!B12</f>
        <v/>
      </c>
      <c r="C8" s="17">
        <f>IF(AND('Token Usage'!$I12="Cache write",Prices!$F$4="No"),"n/a",('Token Usage'!$G12*IF('Token Usage'!$I12="Cache write",Prices!$E$4,Prices!$B$4)+'Token Usage'!$H12*Prices!$D$4+'Token Usage'!$F12*Prices!$C$4)/1000000)</f>
        <v/>
      </c>
      <c r="D8" s="17">
        <f>IF(AND('Token Usage'!$I12="Cache write",Prices!$F$5="No"),"n/a",('Token Usage'!$G12*IF('Token Usage'!$I12="Cache write",Prices!$E$5,Prices!$B$5)+'Token Usage'!$H12*Prices!$D$5+'Token Usage'!$F12*Prices!$C$5)/1000000)</f>
        <v/>
      </c>
      <c r="E8" s="17">
        <f>IF(AND('Token Usage'!$I12="Cache write",Prices!$F$6="No"),"n/a",('Token Usage'!$G12*IF('Token Usage'!$I12="Cache write",Prices!$E$6,Prices!$B$6)+'Token Usage'!$H12*Prices!$D$6+'Token Usage'!$F12*Prices!$C$6)/1000000)</f>
        <v/>
      </c>
      <c r="F8" s="17">
        <f>IF(AND('Token Usage'!$I12="Cache write",Prices!$F$7="No"),"n/a",('Token Usage'!$G12*IF('Token Usage'!$I12="Cache write",Prices!$E$7,Prices!$B$7)+'Token Usage'!$H12*Prices!$D$7+'Token Usage'!$F12*Prices!$C$7)/1000000)</f>
        <v/>
      </c>
      <c r="G8" s="17">
        <f>IF(AND('Token Usage'!$I12="Cache write",Prices!$F$8="No"),"n/a",('Token Usage'!$G12*IF('Token Usage'!$I12="Cache write",Prices!$E$8,Prices!$B$8)+'Token Usage'!$H12*Prices!$D$8+'Token Usage'!$F12*Prices!$C$8)/1000000)</f>
        <v/>
      </c>
    </row>
    <row r="9">
      <c r="A9" s="16">
        <f>'Token Usage'!A13</f>
        <v/>
      </c>
      <c r="B9" s="16">
        <f>'Token Usage'!B13</f>
        <v/>
      </c>
      <c r="C9" s="17">
        <f>IF(AND('Token Usage'!$I13="Cache write",Prices!$F$4="No"),"n/a",('Token Usage'!$G13*IF('Token Usage'!$I13="Cache write",Prices!$E$4,Prices!$B$4)+'Token Usage'!$H13*Prices!$D$4+'Token Usage'!$F13*Prices!$C$4)/1000000)</f>
        <v/>
      </c>
      <c r="D9" s="17">
        <f>IF(AND('Token Usage'!$I13="Cache write",Prices!$F$5="No"),"n/a",('Token Usage'!$G13*IF('Token Usage'!$I13="Cache write",Prices!$E$5,Prices!$B$5)+'Token Usage'!$H13*Prices!$D$5+'Token Usage'!$F13*Prices!$C$5)/1000000)</f>
        <v/>
      </c>
      <c r="E9" s="17">
        <f>IF(AND('Token Usage'!$I13="Cache write",Prices!$F$6="No"),"n/a",('Token Usage'!$G13*IF('Token Usage'!$I13="Cache write",Prices!$E$6,Prices!$B$6)+'Token Usage'!$H13*Prices!$D$6+'Token Usage'!$F13*Prices!$C$6)/1000000)</f>
        <v/>
      </c>
      <c r="F9" s="17">
        <f>IF(AND('Token Usage'!$I13="Cache write",Prices!$F$7="No"),"n/a",('Token Usage'!$G13*IF('Token Usage'!$I13="Cache write",Prices!$E$7,Prices!$B$7)+'Token Usage'!$H13*Prices!$D$7+'Token Usage'!$F13*Prices!$C$7)/1000000)</f>
        <v/>
      </c>
      <c r="G9" s="17">
        <f>IF(AND('Token Usage'!$I13="Cache write",Prices!$F$8="No"),"n/a",('Token Usage'!$G13*IF('Token Usage'!$I13="Cache write",Prices!$E$8,Prices!$B$8)+'Token Usage'!$H13*Prices!$D$8+'Token Usage'!$F13*Prices!$C$8)/1000000)</f>
        <v/>
      </c>
    </row>
    <row r="10">
      <c r="A10" s="16">
        <f>'Token Usage'!A14</f>
        <v/>
      </c>
      <c r="B10" s="16">
        <f>'Token Usage'!B14</f>
        <v/>
      </c>
      <c r="C10" s="17">
        <f>IF(AND('Token Usage'!$I14="Cache write",Prices!$F$4="No"),"n/a",('Token Usage'!$G14*IF('Token Usage'!$I14="Cache write",Prices!$E$4,Prices!$B$4)+'Token Usage'!$H14*Prices!$D$4+'Token Usage'!$F14*Prices!$C$4)/1000000)</f>
        <v/>
      </c>
      <c r="D10" s="17">
        <f>IF(AND('Token Usage'!$I14="Cache write",Prices!$F$5="No"),"n/a",('Token Usage'!$G14*IF('Token Usage'!$I14="Cache write",Prices!$E$5,Prices!$B$5)+'Token Usage'!$H14*Prices!$D$5+'Token Usage'!$F14*Prices!$C$5)/1000000)</f>
        <v/>
      </c>
      <c r="E10" s="17">
        <f>IF(AND('Token Usage'!$I14="Cache write",Prices!$F$6="No"),"n/a",('Token Usage'!$G14*IF('Token Usage'!$I14="Cache write",Prices!$E$6,Prices!$B$6)+'Token Usage'!$H14*Prices!$D$6+'Token Usage'!$F14*Prices!$C$6)/1000000)</f>
        <v/>
      </c>
      <c r="F10" s="17">
        <f>IF(AND('Token Usage'!$I14="Cache write",Prices!$F$7="No"),"n/a",('Token Usage'!$G14*IF('Token Usage'!$I14="Cache write",Prices!$E$7,Prices!$B$7)+'Token Usage'!$H14*Prices!$D$7+'Token Usage'!$F14*Prices!$C$7)/1000000)</f>
        <v/>
      </c>
      <c r="G10" s="17">
        <f>IF(AND('Token Usage'!$I14="Cache write",Prices!$F$8="No"),"n/a",('Token Usage'!$G14*IF('Token Usage'!$I14="Cache write",Prices!$E$8,Prices!$B$8)+'Token Usage'!$H14*Prices!$D$8+'Token Usage'!$F14*Prices!$C$8)/1000000)</f>
        <v/>
      </c>
    </row>
    <row r="11">
      <c r="A11" s="16">
        <f>'Token Usage'!A15</f>
        <v/>
      </c>
      <c r="B11" s="16">
        <f>'Token Usage'!B15</f>
        <v/>
      </c>
      <c r="C11" s="17">
        <f>IF(AND('Token Usage'!$I15="Cache write",Prices!$F$4="No"),"n/a",('Token Usage'!$G15*IF('Token Usage'!$I15="Cache write",Prices!$E$4,Prices!$B$4)+'Token Usage'!$H15*Prices!$D$4+'Token Usage'!$F15*Prices!$C$4)/1000000)</f>
        <v/>
      </c>
      <c r="D11" s="17">
        <f>IF(AND('Token Usage'!$I15="Cache write",Prices!$F$5="No"),"n/a",('Token Usage'!$G15*IF('Token Usage'!$I15="Cache write",Prices!$E$5,Prices!$B$5)+'Token Usage'!$H15*Prices!$D$5+'Token Usage'!$F15*Prices!$C$5)/1000000)</f>
        <v/>
      </c>
      <c r="E11" s="17">
        <f>IF(AND('Token Usage'!$I15="Cache write",Prices!$F$6="No"),"n/a",('Token Usage'!$G15*IF('Token Usage'!$I15="Cache write",Prices!$E$6,Prices!$B$6)+'Token Usage'!$H15*Prices!$D$6+'Token Usage'!$F15*Prices!$C$6)/1000000)</f>
        <v/>
      </c>
      <c r="F11" s="17">
        <f>IF(AND('Token Usage'!$I15="Cache write",Prices!$F$7="No"),"n/a",('Token Usage'!$G15*IF('Token Usage'!$I15="Cache write",Prices!$E$7,Prices!$B$7)+'Token Usage'!$H15*Prices!$D$7+'Token Usage'!$F15*Prices!$C$7)/1000000)</f>
        <v/>
      </c>
      <c r="G11" s="17">
        <f>IF(AND('Token Usage'!$I15="Cache write",Prices!$F$8="No"),"n/a",('Token Usage'!$G15*IF('Token Usage'!$I15="Cache write",Prices!$E$8,Prices!$B$8)+'Token Usage'!$H15*Prices!$D$8+'Token Usage'!$F15*Prices!$C$8)/1000000)</f>
        <v/>
      </c>
    </row>
    <row r="13">
      <c r="A13" s="8" t="inlineStr">
        <is>
          <t>How many times more one Claude Code job costs than one workflow job</t>
        </is>
      </c>
    </row>
    <row r="14">
      <c r="A14" s="4" t="inlineStr">
        <is>
          <t>Static site: Claude Code typical (Sonnet 5) vs workflow (Gemini paid 2026)</t>
        </is>
      </c>
      <c r="F14" s="18">
        <f>F8/D5</f>
        <v/>
      </c>
    </row>
    <row r="15">
      <c r="A15" s="4" t="inlineStr">
        <is>
          <t>Static site: Claude Code typical (Opus 5.5) vs workflow (Gemini paid 2026)</t>
        </is>
      </c>
      <c r="F15" s="18">
        <f>G8/D5</f>
        <v/>
      </c>
    </row>
    <row r="16">
      <c r="A16" s="4" t="inlineStr">
        <is>
          <t>Static site: Claude Code typical (Sonnet 5) vs same workflow on Claude Sonnet 5</t>
        </is>
      </c>
      <c r="F16" s="18">
        <f>F8/F5</f>
        <v/>
      </c>
    </row>
    <row r="17">
      <c r="A17" s="4" t="inlineStr">
        <is>
          <t>Backend: Claude Code typical (Sonnet 5) vs workflow worst case (Gemini paid 2026)</t>
        </is>
      </c>
      <c r="F17" s="18">
        <f>F10/D7</f>
        <v/>
      </c>
    </row>
  </sheetData>
  <mergeCells count="4">
    <mergeCell ref="A16:E16"/>
    <mergeCell ref="A15:E15"/>
    <mergeCell ref="A17:E17"/>
    <mergeCell ref="A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Monthly cost at different volumes (USD)</t>
        </is>
      </c>
    </row>
    <row r="2">
      <c r="A2" s="2" t="inlineStr">
        <is>
          <t>Edit the jobs-per-month cells (blue). Subscriptions are flat but have usage limits.</t>
        </is>
      </c>
    </row>
    <row r="4">
      <c r="A4" s="4" t="inlineStr">
        <is>
          <t>Jobs per month</t>
        </is>
      </c>
      <c r="C4" s="11" t="n">
        <v>10</v>
      </c>
      <c r="D4" s="11" t="n">
        <v>100</v>
      </c>
      <c r="E4" s="11" t="n">
        <v>1000</v>
      </c>
    </row>
    <row r="6">
      <c r="A6" s="8" t="inlineStr">
        <is>
          <t>Static website</t>
        </is>
      </c>
    </row>
    <row r="7">
      <c r="A7" s="9" t="inlineStr">
        <is>
          <t>Option</t>
        </is>
      </c>
      <c r="B7" s="9" t="inlineStr">
        <is>
          <t>Cost per job</t>
        </is>
      </c>
      <c r="C7" s="9">
        <f>C4&amp;" jobs"</f>
        <v/>
      </c>
      <c r="D7" s="9">
        <f>D4&amp;" jobs"</f>
        <v/>
      </c>
      <c r="E7" s="9">
        <f>E4&amp;" jobs"</f>
        <v/>
      </c>
    </row>
    <row r="8">
      <c r="A8" s="4" t="inlineStr">
        <is>
          <t>Workflow + Gemini 3.6 Flash (free tier)</t>
        </is>
      </c>
      <c r="B8" s="19">
        <f>'Cost per Job'!C5</f>
        <v/>
      </c>
      <c r="C8" s="20">
        <f>$B8*C$4</f>
        <v/>
      </c>
      <c r="D8" s="20">
        <f>$B8*D$4</f>
        <v/>
      </c>
      <c r="E8" s="20">
        <f>$B8*E$4</f>
        <v/>
      </c>
    </row>
    <row r="9">
      <c r="A9" s="4" t="inlineStr">
        <is>
          <t>Workflow + Gemini 3.6 Flash (paid, 2026)</t>
        </is>
      </c>
      <c r="B9" s="19">
        <f>'Cost per Job'!D5</f>
        <v/>
      </c>
      <c r="C9" s="20">
        <f>$B9*C$4</f>
        <v/>
      </c>
      <c r="D9" s="20">
        <f>$B9*D$4</f>
        <v/>
      </c>
      <c r="E9" s="20">
        <f>$B9*E$4</f>
        <v/>
      </c>
    </row>
    <row r="10">
      <c r="A10" s="4" t="inlineStr">
        <is>
          <t>Workflow + Gemini 3.6 Flash (paid, from 2027)</t>
        </is>
      </c>
      <c r="B10" s="19">
        <f>'Cost per Job'!E5</f>
        <v/>
      </c>
      <c r="C10" s="20">
        <f>$B10*C$4</f>
        <v/>
      </c>
      <c r="D10" s="20">
        <f>$B10*D$4</f>
        <v/>
      </c>
      <c r="E10" s="20">
        <f>$B10*E$4</f>
        <v/>
      </c>
    </row>
    <row r="11">
      <c r="A11" s="4" t="inlineStr">
        <is>
          <t>Workflow + Claude Sonnet 5 API</t>
        </is>
      </c>
      <c r="B11" s="19">
        <f>'Cost per Job'!F5</f>
        <v/>
      </c>
      <c r="C11" s="20">
        <f>$B11*C$4</f>
        <v/>
      </c>
      <c r="D11" s="20">
        <f>$B11*D$4</f>
        <v/>
      </c>
      <c r="E11" s="20">
        <f>$B11*E$4</f>
        <v/>
      </c>
    </row>
    <row r="12">
      <c r="A12" s="4" t="inlineStr">
        <is>
          <t>Claude Code, API billing, Sonnet 5 (typical)</t>
        </is>
      </c>
      <c r="B12" s="19">
        <f>'Cost per Job'!F8</f>
        <v/>
      </c>
      <c r="C12" s="20">
        <f>$B12*C$4</f>
        <v/>
      </c>
      <c r="D12" s="20">
        <f>$B12*D$4</f>
        <v/>
      </c>
      <c r="E12" s="20">
        <f>$B12*E$4</f>
        <v/>
      </c>
    </row>
    <row r="13">
      <c r="A13" s="4" t="inlineStr">
        <is>
          <t>Claude Code, API billing, Opus 5.5 (typical)</t>
        </is>
      </c>
      <c r="B13" s="19">
        <f>'Cost per Job'!G8</f>
        <v/>
      </c>
      <c r="C13" s="20">
        <f>$B13*C$4</f>
        <v/>
      </c>
      <c r="D13" s="20">
        <f>$B13*D$4</f>
        <v/>
      </c>
      <c r="E13" s="20">
        <f>$B13*E$4</f>
        <v/>
      </c>
    </row>
    <row r="14">
      <c r="A14" s="4" t="inlineStr">
        <is>
          <t>Claude Pro subscription (flat, usage limits apply)</t>
        </is>
      </c>
      <c r="B14" s="4" t="inlineStr">
        <is>
          <t>flat</t>
        </is>
      </c>
      <c r="C14" s="21">
        <f>Prices!$B$12</f>
        <v/>
      </c>
      <c r="D14" s="21">
        <f>Prices!$B$12</f>
        <v/>
      </c>
      <c r="E14" s="21">
        <f>Prices!$B$12</f>
        <v/>
      </c>
    </row>
    <row r="15">
      <c r="A15" s="4" t="inlineStr">
        <is>
          <t>Claude Max 5x subscription (flat)</t>
        </is>
      </c>
      <c r="B15" s="4" t="inlineStr">
        <is>
          <t>flat</t>
        </is>
      </c>
      <c r="C15" s="21">
        <f>Prices!$B$13</f>
        <v/>
      </c>
      <c r="D15" s="21">
        <f>Prices!$B$13</f>
        <v/>
      </c>
      <c r="E15" s="21">
        <f>Prices!$B$13</f>
        <v/>
      </c>
    </row>
    <row r="17">
      <c r="A17" s="8" t="inlineStr">
        <is>
          <t>Tested backend (workflow: passes first try)</t>
        </is>
      </c>
    </row>
    <row r="18">
      <c r="A18" s="9" t="inlineStr">
        <is>
          <t>Option</t>
        </is>
      </c>
      <c r="B18" s="9" t="inlineStr">
        <is>
          <t>Cost per job</t>
        </is>
      </c>
      <c r="C18" s="9">
        <f>C4&amp;" jobs"</f>
        <v/>
      </c>
      <c r="D18" s="9">
        <f>D4&amp;" jobs"</f>
        <v/>
      </c>
      <c r="E18" s="9">
        <f>E4&amp;" jobs"</f>
        <v/>
      </c>
    </row>
    <row r="19">
      <c r="A19" s="4" t="inlineStr">
        <is>
          <t>Workflow + Gemini 3.6 Flash (free tier)</t>
        </is>
      </c>
      <c r="B19" s="19">
        <f>'Cost per Job'!C6</f>
        <v/>
      </c>
      <c r="C19" s="20">
        <f>$B19*C$4</f>
        <v/>
      </c>
      <c r="D19" s="20">
        <f>$B19*D$4</f>
        <v/>
      </c>
      <c r="E19" s="20">
        <f>$B19*E$4</f>
        <v/>
      </c>
    </row>
    <row r="20">
      <c r="A20" s="4" t="inlineStr">
        <is>
          <t>Workflow + Gemini 3.6 Flash (paid, 2026)</t>
        </is>
      </c>
      <c r="B20" s="19">
        <f>'Cost per Job'!D6</f>
        <v/>
      </c>
      <c r="C20" s="20">
        <f>$B20*C$4</f>
        <v/>
      </c>
      <c r="D20" s="20">
        <f>$B20*D$4</f>
        <v/>
      </c>
      <c r="E20" s="20">
        <f>$B20*E$4</f>
        <v/>
      </c>
    </row>
    <row r="21">
      <c r="A21" s="4" t="inlineStr">
        <is>
          <t>Workflow + Gemini 3.6 Flash (paid, from 2027)</t>
        </is>
      </c>
      <c r="B21" s="19">
        <f>'Cost per Job'!E6</f>
        <v/>
      </c>
      <c r="C21" s="20">
        <f>$B21*C$4</f>
        <v/>
      </c>
      <c r="D21" s="20">
        <f>$B21*D$4</f>
        <v/>
      </c>
      <c r="E21" s="20">
        <f>$B21*E$4</f>
        <v/>
      </c>
    </row>
    <row r="22">
      <c r="A22" s="4" t="inlineStr">
        <is>
          <t>Workflow + Claude Sonnet 5 API</t>
        </is>
      </c>
      <c r="B22" s="19">
        <f>'Cost per Job'!F6</f>
        <v/>
      </c>
      <c r="C22" s="20">
        <f>$B22*C$4</f>
        <v/>
      </c>
      <c r="D22" s="20">
        <f>$B22*D$4</f>
        <v/>
      </c>
      <c r="E22" s="20">
        <f>$B22*E$4</f>
        <v/>
      </c>
    </row>
    <row r="23">
      <c r="A23" s="4" t="inlineStr">
        <is>
          <t>Claude Code, API billing, Sonnet 5 (typical)</t>
        </is>
      </c>
      <c r="B23" s="19">
        <f>'Cost per Job'!F10</f>
        <v/>
      </c>
      <c r="C23" s="20">
        <f>$B23*C$4</f>
        <v/>
      </c>
      <c r="D23" s="20">
        <f>$B23*D$4</f>
        <v/>
      </c>
      <c r="E23" s="20">
        <f>$B23*E$4</f>
        <v/>
      </c>
    </row>
    <row r="24">
      <c r="A24" s="4" t="inlineStr">
        <is>
          <t>Claude Code, API billing, Opus 5.5 (typical)</t>
        </is>
      </c>
      <c r="B24" s="19">
        <f>'Cost per Job'!G10</f>
        <v/>
      </c>
      <c r="C24" s="20">
        <f>$B24*C$4</f>
        <v/>
      </c>
      <c r="D24" s="20">
        <f>$B24*D$4</f>
        <v/>
      </c>
      <c r="E24" s="20">
        <f>$B24*E$4</f>
        <v/>
      </c>
    </row>
    <row r="25">
      <c r="A25" s="4" t="inlineStr">
        <is>
          <t>Claude Pro subscription (flat, usage limits apply)</t>
        </is>
      </c>
      <c r="B25" s="4" t="inlineStr">
        <is>
          <t>flat</t>
        </is>
      </c>
      <c r="C25" s="21">
        <f>Prices!$B$12</f>
        <v/>
      </c>
      <c r="D25" s="21">
        <f>Prices!$B$12</f>
        <v/>
      </c>
      <c r="E25" s="21">
        <f>Prices!$B$12</f>
        <v/>
      </c>
    </row>
    <row r="26">
      <c r="A26" s="4" t="inlineStr">
        <is>
          <t>Claude Max 5x subscription (flat)</t>
        </is>
      </c>
      <c r="B26" s="4" t="inlineStr">
        <is>
          <t>flat</t>
        </is>
      </c>
      <c r="C26" s="21">
        <f>Prices!$B$13</f>
        <v/>
      </c>
      <c r="D26" s="21">
        <f>Prices!$B$13</f>
        <v/>
      </c>
      <c r="E26" s="21">
        <f>Prices!$B$13</f>
        <v/>
      </c>
    </row>
  </sheetData>
  <mergeCells count="2">
    <mergeCell ref="A6:E6"/>
    <mergeCell ref="A17:E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2" t="inlineStr">
        <is>
          <t>Cost estimate: n8n + Gemini workflow vs. using Claude Code directly</t>
        </is>
      </c>
    </row>
    <row r="2">
      <c r="A2" s="23" t="inlineStr">
        <is>
          <t>Prepared 2026-09-24 for the automated-codebase repo.</t>
        </is>
      </c>
    </row>
    <row r="3">
      <c r="A3" s="24" t="n"/>
    </row>
    <row r="4">
      <c r="A4" s="25" t="inlineStr">
        <is>
          <t>What is measured vs. estimated</t>
        </is>
      </c>
    </row>
    <row r="5">
      <c r="A5" s="26" t="inlineStr">
        <is>
          <t>Measured: token counts for the workflow static-site and tested-backend calls (real Gemini 3.6 Flash requests).</t>
        </is>
      </c>
    </row>
    <row r="6">
      <c r="A6" s="26" t="inlineStr">
        <is>
          <t>Estimated: workflow worst-case retries, and every Claude Code session (turns, context size, cache share, output).</t>
        </is>
      </c>
    </row>
    <row r="7">
      <c r="A7" s="26" t="inlineStr">
        <is>
          <t>Claude Code token counts vary a lot with the task and how many fix rounds it takes - treat those rows as ballpark.</t>
        </is>
      </c>
    </row>
    <row r="8">
      <c r="A8" s="24" t="n"/>
    </row>
    <row r="9">
      <c r="A9" s="25" t="inlineStr">
        <is>
          <t>Caveats</t>
        </is>
      </c>
    </row>
    <row r="10">
      <c r="A10" s="26" t="inlineStr">
        <is>
          <t>Cost per call is not cost per working result: workflow output is untested (static site) or only self-tested; Claude Code checks and fixes its own work.</t>
        </is>
      </c>
    </row>
    <row r="11">
      <c r="A11" s="26" t="inlineStr">
        <is>
          <t>The Gemini free tier ends 2026-12-31 and is rate-limited ("high demand" 503s were common during testing). Review Google's free-tier data terms.</t>
        </is>
      </c>
    </row>
    <row r="12">
      <c r="A12" s="26" t="inlineStr">
        <is>
          <t>Claude and Gemini use different tokenizers, so "same workflow on Claude" figures are approximate.</t>
        </is>
      </c>
    </row>
    <row r="13">
      <c r="A13" s="26" t="inlineStr">
        <is>
          <t>Claude cache-write price (1.25x input) and Sonnet 5 cache-read price (0.1x input) are assumed standard multipliers.</t>
        </is>
      </c>
    </row>
    <row r="14">
      <c r="A14" s="26" t="inlineStr">
        <is>
          <t>Self-hosting n8n and Docker locally adds no direct cost.</t>
        </is>
      </c>
    </row>
    <row r="15">
      <c r="A15" s="24" t="n"/>
    </row>
    <row r="16">
      <c r="A16" s="25" t="inlineStr">
        <is>
          <t>Colour key</t>
        </is>
      </c>
    </row>
    <row r="17">
      <c r="A17" s="26" t="inlineStr">
        <is>
          <t>Blue text = editable input. Black = formula. Green = link to another sheet. Yellow fill = key assumption.</t>
        </is>
      </c>
    </row>
    <row r="18">
      <c r="A18" s="24" t="n"/>
    </row>
    <row r="19">
      <c r="A19" s="25" t="inlineStr">
        <is>
          <t>Sources</t>
        </is>
      </c>
    </row>
    <row r="20">
      <c r="A20" s="26" t="inlineStr">
        <is>
          <t>Gemini API pricing: https://ai.google.dev/gemini-api/docs/pricing</t>
        </is>
      </c>
    </row>
    <row r="21">
      <c r="A21" s="26" t="inlineStr">
        <is>
          <t>Claude plans &amp; pricing: https://claude.com/pricing</t>
        </is>
      </c>
    </row>
    <row r="22">
      <c r="A22" s="26" t="inlineStr">
        <is>
          <t>Claude API model prices: Anthropic Claude API reference (cached 2026-06-24)</t>
        </is>
      </c>
    </row>
    <row r="23">
      <c r="A23" s="26" t="inlineStr">
        <is>
          <t>Claude Code pricing overview: https://duet.so/blog/claude-code-pricing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2026-09-24T06:02:24Z</dcterms:created>
  <dcterms:modified xsi:type="dcterms:W3CDTF">2026-09-24T06:02:24Z</dcterms:modified>
</cp:coreProperties>
</file>